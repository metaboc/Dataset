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S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<sst xmlns="http://schemas.openxmlformats.org/spreadsheetml/2006/main" count="90" uniqueCount="18">
  <si>
    <t>F</t>
  </si>
  <si>
    <t>NR-100</t>
  </si>
  <si>
    <t>R-40</t>
  </si>
  <si>
    <t>R-100</t>
  </si>
  <si>
    <t>R-150</t>
  </si>
  <si>
    <t>I</t>
  </si>
  <si>
    <t>Pre-Train</t>
  </si>
  <si>
    <t>Post-Train</t>
  </si>
  <si>
    <t>organoid1</t>
  </si>
  <si>
    <t>organoid2</t>
  </si>
  <si>
    <t>organoid3</t>
  </si>
  <si>
    <t>organoid4</t>
  </si>
  <si>
    <t>organoid5</t>
  </si>
  <si>
    <t>organoid6</t>
  </si>
  <si>
    <t>G</t>
  </si>
  <si>
    <t>J</t>
  </si>
  <si>
    <t>H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</si>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</sst>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33"/>
  <sheetViews>
    <sheetView tabSelected="1" topLeftCell="A22" workbookViewId="0">
      <selection activeCell="B35" sqref="B35:I35"/>
    </sheetView>
  </sheetViews>
  <sheetFormatPr defaultColWidth="9" defaultRowHeight="14"/>
  <cols>
    <col min="1" max="1" width="11.6272727272727" style="1" customWidth="1"/>
    <col min="2" max="3" width="12.6272727272727" style="1" customWidth="1"/>
    <col min="4" max="4" width="9.25454545454545" style="1" customWidth="1"/>
    <col min="5" max="5" width="10" style="1" customWidth="1"/>
    <col min="6" max="6" width="9.25454545454545" style="1" customWidth="1"/>
    <col min="7" max="7" width="10" style="1" customWidth="1"/>
    <col min="8" max="8" width="9.25454545454545" style="1" customWidth="1"/>
    <col min="9" max="9" width="10" style="1" customWidth="1"/>
    <col min="10" max="11" width="11.1272727272727" style="1"/>
    <col min="12" max="13" width="9" style="1"/>
    <col min="14" max="17" width="12" style="1"/>
    <col min="18" max="16384" width="9" style="1"/>
  </cols>
  <sheetData>
    <row r="3" spans="1:17">
      <c r="A3" s="2" t="s">
        <v>0</v>
      </c>
      <c r="B3" s="3" t="s">
        <v>1</v>
      </c>
      <c r="C3" s="3"/>
      <c r="D3" s="3" t="s">
        <v>2</v>
      </c>
      <c r="E3" s="3"/>
      <c r="F3" s="3" t="s">
        <v>3</v>
      </c>
      <c r="G3" s="3"/>
      <c r="H3" s="3" t="s">
        <v>4</v>
      </c>
      <c r="I3" s="3"/>
      <c r="M3" s="2" t="s">
        <v>5</v>
      </c>
    </row>
    <row r="4" spans="1:17">
      <c r="A4" s="4"/>
      <c r="B4" s="5" t="s">
        <v>6</v>
      </c>
      <c r="C4" s="2" t="s">
        <v>7</v>
      </c>
      <c r="D4" s="5" t="s">
        <v>6</v>
      </c>
      <c r="E4" s="2" t="s">
        <v>7</v>
      </c>
      <c r="F4" s="5" t="s">
        <v>6</v>
      </c>
      <c r="G4" s="2" t="s">
        <v>7</v>
      </c>
      <c r="H4" s="5" t="s">
        <v>6</v>
      </c>
      <c r="I4" s="2" t="s">
        <v>7</v>
      </c>
      <c r="M4" s="4"/>
      <c r="N4" s="6" t="s">
        <v>1</v>
      </c>
      <c r="O4" s="6" t="s">
        <v>2</v>
      </c>
      <c r="P4" s="6" t="s">
        <v>3</v>
      </c>
      <c r="Q4" s="6" t="s">
        <v>4</v>
      </c>
    </row>
    <row r="5" spans="1:17">
      <c r="A5" s="6" t="s">
        <v>8</v>
      </c>
      <c r="B5" s="4">
        <v>2.1</v>
      </c>
      <c r="C5" s="4">
        <v>2.5</v>
      </c>
      <c r="D5" s="4">
        <v>2.88</v>
      </c>
      <c r="E5" s="4">
        <v>2.75</v>
      </c>
      <c r="F5" s="4">
        <v>2.1</v>
      </c>
      <c r="G5" s="4">
        <v>1.56</v>
      </c>
      <c r="H5" s="4">
        <v>2.1</v>
      </c>
      <c r="I5" s="4">
        <v>1.67</v>
      </c>
      <c r="M5" s="6" t="s">
        <v>8</v>
      </c>
      <c r="N5" s="4">
        <v>0.19047619047619</v>
      </c>
      <c r="O5" s="4">
        <v>-0.0451388888888889</v>
      </c>
      <c r="P5" s="4">
        <v>-0.257142857142857</v>
      </c>
      <c r="Q5" s="4">
        <v>-0.204761904761905</v>
      </c>
    </row>
    <row r="6" spans="1:17">
      <c r="A6" s="6" t="s">
        <v>9</v>
      </c>
      <c r="B6" s="4">
        <v>2.44</v>
      </c>
      <c r="C6" s="4">
        <v>2.22</v>
      </c>
      <c r="D6" s="4">
        <v>3.14</v>
      </c>
      <c r="E6" s="4">
        <v>2.67</v>
      </c>
      <c r="F6" s="4">
        <v>3</v>
      </c>
      <c r="G6" s="4">
        <v>1.55</v>
      </c>
      <c r="H6" s="4">
        <v>3.63</v>
      </c>
      <c r="I6" s="4">
        <v>2.67</v>
      </c>
      <c r="M6" s="6" t="s">
        <v>9</v>
      </c>
      <c r="N6" s="4">
        <v>-0.0901639344262294</v>
      </c>
      <c r="O6" s="4">
        <v>-0.140681529</v>
      </c>
      <c r="P6" s="4">
        <v>-0.483333333333333</v>
      </c>
      <c r="Q6" s="4">
        <v>-0.264462809917355</v>
      </c>
    </row>
    <row r="7" spans="1:17">
      <c r="A7" s="6" t="s">
        <v>10</v>
      </c>
      <c r="B7" s="4">
        <v>2.88</v>
      </c>
      <c r="C7" s="4">
        <v>2.67</v>
      </c>
      <c r="D7" s="4">
        <v>2.88</v>
      </c>
      <c r="E7" s="4">
        <v>2.75</v>
      </c>
      <c r="F7" s="4">
        <v>3.33</v>
      </c>
      <c r="G7" s="4">
        <v>2.22</v>
      </c>
      <c r="H7" s="4">
        <v>2.5</v>
      </c>
      <c r="I7" s="4">
        <v>2.11</v>
      </c>
      <c r="M7" s="6" t="s">
        <v>10</v>
      </c>
      <c r="N7" s="4">
        <v>-0.0729166666666667</v>
      </c>
      <c r="O7" s="4">
        <v>-0.0451388888888889</v>
      </c>
      <c r="P7" s="4">
        <v>-0.333333333333333</v>
      </c>
      <c r="Q7" s="4">
        <v>-0.156</v>
      </c>
    </row>
    <row r="8" spans="1:17">
      <c r="A8" s="6" t="s">
        <v>11</v>
      </c>
      <c r="B8" s="4">
        <v>2.22</v>
      </c>
      <c r="C8" s="4">
        <v>2.5</v>
      </c>
      <c r="D8" s="4">
        <v>2.78</v>
      </c>
      <c r="E8" s="4">
        <v>2.22</v>
      </c>
      <c r="F8" s="4">
        <v>3.38</v>
      </c>
      <c r="G8" s="4">
        <v>2.75</v>
      </c>
      <c r="H8" s="4">
        <v>2.75</v>
      </c>
      <c r="I8" s="4">
        <v>3.71</v>
      </c>
      <c r="M8" s="6" t="s">
        <v>11</v>
      </c>
      <c r="N8" s="4">
        <v>0.126126126126126</v>
      </c>
      <c r="O8" s="4">
        <v>-0.201438848920863</v>
      </c>
      <c r="P8" s="4">
        <v>-0.186390532544379</v>
      </c>
      <c r="Q8" s="4">
        <v>0.349090909090909</v>
      </c>
    </row>
    <row r="9" spans="1:17">
      <c r="A9" s="6" t="s">
        <v>12</v>
      </c>
      <c r="B9" s="4">
        <v>3.29</v>
      </c>
      <c r="C9" s="4">
        <v>3.25</v>
      </c>
      <c r="D9" s="4">
        <v>3</v>
      </c>
      <c r="E9" s="4">
        <v>2.88</v>
      </c>
      <c r="F9" s="4">
        <v>3.86</v>
      </c>
      <c r="G9" s="4">
        <v>3</v>
      </c>
      <c r="H9" s="4">
        <v>2.63</v>
      </c>
      <c r="I9" s="4">
        <v>3.63</v>
      </c>
      <c r="M9" s="6" t="s">
        <v>12</v>
      </c>
      <c r="N9" s="4">
        <v>-0.0121580547112462</v>
      </c>
      <c r="O9" s="4">
        <v>-0.04</v>
      </c>
      <c r="P9" s="4">
        <v>-0.22279792746114</v>
      </c>
      <c r="Q9" s="4">
        <v>0.380228136882129</v>
      </c>
    </row>
    <row r="10" spans="1:17">
      <c r="A10" s="6" t="s">
        <v>13</v>
      </c>
      <c r="B10" s="4">
        <v>2.11</v>
      </c>
      <c r="C10" s="4">
        <v>2.5</v>
      </c>
      <c r="D10" s="4">
        <v>2.44</v>
      </c>
      <c r="E10" s="4">
        <v>2.75</v>
      </c>
      <c r="F10" s="4">
        <v>2.86</v>
      </c>
      <c r="G10" s="4">
        <v>1.67</v>
      </c>
      <c r="H10" s="4">
        <v>2.44</v>
      </c>
      <c r="I10" s="4">
        <v>2</v>
      </c>
      <c r="M10" s="6" t="s">
        <v>13</v>
      </c>
      <c r="N10" s="4">
        <v>0.184834123222749</v>
      </c>
      <c r="O10" s="4">
        <v>0.127049180327869</v>
      </c>
      <c r="P10" s="4">
        <v>-0.416083916083916</v>
      </c>
      <c r="Q10" s="4">
        <v>-0.180327868852459</v>
      </c>
    </row>
    <row r="15" spans="1:17">
      <c r="A15" s="2" t="s">
        <v>14</v>
      </c>
      <c r="B15" s="3" t="s">
        <v>1</v>
      </c>
      <c r="C15" s="3"/>
      <c r="D15" s="3" t="s">
        <v>2</v>
      </c>
      <c r="E15" s="3"/>
      <c r="F15" s="3" t="s">
        <v>3</v>
      </c>
      <c r="G15" s="3"/>
      <c r="H15" s="3" t="s">
        <v>4</v>
      </c>
      <c r="I15" s="3"/>
      <c r="M15" s="2" t="s">
        <v>15</v>
      </c>
    </row>
    <row r="16" spans="1:17">
      <c r="A16" s="4"/>
      <c r="B16" s="5" t="s">
        <v>6</v>
      </c>
      <c r="C16" s="2" t="s">
        <v>7</v>
      </c>
      <c r="D16" s="5" t="s">
        <v>6</v>
      </c>
      <c r="E16" s="2" t="s">
        <v>7</v>
      </c>
      <c r="F16" s="5" t="s">
        <v>6</v>
      </c>
      <c r="G16" s="2" t="s">
        <v>7</v>
      </c>
      <c r="H16" s="5" t="s">
        <v>6</v>
      </c>
      <c r="I16" s="2" t="s">
        <v>7</v>
      </c>
      <c r="M16" s="4"/>
      <c r="N16" s="6" t="s">
        <v>1</v>
      </c>
      <c r="O16" s="6" t="s">
        <v>2</v>
      </c>
      <c r="P16" s="6" t="s">
        <v>3</v>
      </c>
      <c r="Q16" s="6" t="s">
        <v>4</v>
      </c>
    </row>
    <row r="17" spans="1:17">
      <c r="A17" s="6" t="s">
        <v>8</v>
      </c>
      <c r="B17" s="4">
        <v>0.0173051980024671</v>
      </c>
      <c r="C17" s="7">
        <v>0.0195892017332815</v>
      </c>
      <c r="D17" s="4">
        <v>0.0192888351514612</v>
      </c>
      <c r="E17" s="4">
        <v>0.0176812207202252</v>
      </c>
      <c r="F17" s="4">
        <v>0.0173160743804903</v>
      </c>
      <c r="G17" s="4">
        <v>0.0116935069437925</v>
      </c>
      <c r="H17" s="4">
        <v>0.0162611738130904</v>
      </c>
      <c r="I17" s="4">
        <v>0.0144233666901283</v>
      </c>
      <c r="M17" s="6" t="s">
        <v>8</v>
      </c>
      <c r="N17" s="4">
        <f t="shared" ref="N17:N22" si="0">(C17-B17)/B17</f>
        <v>0.131983680885291</v>
      </c>
      <c r="O17" s="4">
        <f t="shared" ref="O17:O22" si="1">E17/D17-D17/D17</f>
        <v>-0.0833442983266004</v>
      </c>
      <c r="P17" s="4">
        <f t="shared" ref="P17:P22" si="2">G17/F17-F17/F17</f>
        <v>-0.324702199421865</v>
      </c>
      <c r="Q17" s="4">
        <f t="shared" ref="Q17:Q22" si="3">I17/H17-H17/H17</f>
        <v>-0.113018109521875</v>
      </c>
    </row>
    <row r="18" spans="1:17">
      <c r="A18" s="6" t="s">
        <v>9</v>
      </c>
      <c r="B18" s="4">
        <v>0.0181398176690672</v>
      </c>
      <c r="C18" s="4">
        <v>0.0166275681286161</v>
      </c>
      <c r="D18" s="4">
        <v>0.0185276215558143</v>
      </c>
      <c r="E18" s="4">
        <v>0.0199783365762249</v>
      </c>
      <c r="F18" s="4">
        <v>0.0226766405769706</v>
      </c>
      <c r="G18" s="4">
        <v>0.0137343020462614</v>
      </c>
      <c r="H18" s="4">
        <v>0.0242837086072578</v>
      </c>
      <c r="I18" s="4">
        <v>0.0240165957010775</v>
      </c>
      <c r="M18" s="6" t="s">
        <v>9</v>
      </c>
      <c r="N18" s="4">
        <f t="shared" si="0"/>
        <v>-0.0833663032363249</v>
      </c>
      <c r="O18" s="4">
        <f t="shared" si="1"/>
        <v>0.078300121580114</v>
      </c>
      <c r="P18" s="4">
        <f t="shared" si="2"/>
        <v>-0.394341414917986</v>
      </c>
      <c r="Q18" s="4">
        <f t="shared" si="3"/>
        <v>-0.0109996751526028</v>
      </c>
    </row>
    <row r="19" spans="1:17">
      <c r="A19" s="6" t="s">
        <v>10</v>
      </c>
      <c r="B19" s="4">
        <v>0.0187658333998975</v>
      </c>
      <c r="C19" s="4">
        <v>0.0194463344093626</v>
      </c>
      <c r="D19" s="4">
        <v>0.0188504807478738</v>
      </c>
      <c r="E19" s="4">
        <v>0.0182536923309354</v>
      </c>
      <c r="F19" s="4">
        <v>0.0220754096429669</v>
      </c>
      <c r="G19" s="4">
        <v>0.0166947061541479</v>
      </c>
      <c r="H19" s="4">
        <v>0.0166299058602915</v>
      </c>
      <c r="I19" s="4">
        <v>0.0129428171526044</v>
      </c>
      <c r="M19" s="6" t="s">
        <v>10</v>
      </c>
      <c r="N19" s="4">
        <f t="shared" si="0"/>
        <v>0.036262765152163</v>
      </c>
      <c r="O19" s="4">
        <f t="shared" si="1"/>
        <v>-0.0316590555392448</v>
      </c>
      <c r="P19" s="4">
        <f t="shared" si="2"/>
        <v>-0.243741954321254</v>
      </c>
      <c r="Q19" s="4">
        <f t="shared" si="3"/>
        <v>-0.221714346350634</v>
      </c>
    </row>
    <row r="20" spans="1:17">
      <c r="A20" s="6" t="s">
        <v>11</v>
      </c>
      <c r="B20" s="4">
        <v>0.0167552551754365</v>
      </c>
      <c r="C20" s="4">
        <v>0.0272012873959248</v>
      </c>
      <c r="D20" s="4">
        <v>0.0211010358057212</v>
      </c>
      <c r="E20" s="4">
        <v>0.0210174964974117</v>
      </c>
      <c r="F20" s="4">
        <v>0.0228428484875029</v>
      </c>
      <c r="G20" s="4">
        <v>0.0186951232525368</v>
      </c>
      <c r="H20" s="4">
        <v>0.0187019848763491</v>
      </c>
      <c r="I20" s="4">
        <v>0.0203940699437843</v>
      </c>
      <c r="M20" s="6" t="s">
        <v>11</v>
      </c>
      <c r="N20" s="4">
        <f t="shared" si="0"/>
        <v>0.623448112912203</v>
      </c>
      <c r="O20" s="4">
        <f t="shared" si="1"/>
        <v>-0.00395901457533421</v>
      </c>
      <c r="P20" s="4">
        <f t="shared" si="2"/>
        <v>-0.181576533120871</v>
      </c>
      <c r="Q20" s="4">
        <f t="shared" si="3"/>
        <v>0.0904762290539036</v>
      </c>
    </row>
    <row r="21" spans="1:17">
      <c r="A21" s="6" t="s">
        <v>12</v>
      </c>
      <c r="B21" s="4">
        <v>0.0251940213729722</v>
      </c>
      <c r="C21" s="4">
        <v>0.0215691540807858</v>
      </c>
      <c r="D21" s="4">
        <v>0.0199054596848137</v>
      </c>
      <c r="E21" s="7">
        <v>0.0188547582754258</v>
      </c>
      <c r="F21" s="4">
        <v>0.0213590988641632</v>
      </c>
      <c r="G21" s="7">
        <v>0.0155542890176897</v>
      </c>
      <c r="H21" s="4">
        <v>0.0176974961891971</v>
      </c>
      <c r="I21" s="4">
        <v>0.0148569717629366</v>
      </c>
      <c r="M21" s="6" t="s">
        <v>12</v>
      </c>
      <c r="N21" s="4">
        <f t="shared" si="0"/>
        <v>-0.143878074822748</v>
      </c>
      <c r="O21" s="4">
        <f t="shared" si="1"/>
        <v>-0.0527845840299535</v>
      </c>
      <c r="P21" s="4">
        <f t="shared" si="2"/>
        <v>-0.271772226131363</v>
      </c>
      <c r="Q21" s="4">
        <f t="shared" si="3"/>
        <v>-0.160504310660308</v>
      </c>
    </row>
    <row r="22" spans="1:17">
      <c r="A22" s="6" t="s">
        <v>13</v>
      </c>
      <c r="B22" s="4">
        <v>0.0150512296308826</v>
      </c>
      <c r="C22" s="4">
        <v>0.0207690411439898</v>
      </c>
      <c r="D22" s="4">
        <v>0.0163000722681503</v>
      </c>
      <c r="E22" s="4">
        <v>0.0181471602767021</v>
      </c>
      <c r="F22" s="4">
        <v>0.0158264010383161</v>
      </c>
      <c r="G22" s="4">
        <v>0.0116297748645037</v>
      </c>
      <c r="H22" s="4">
        <v>0.0184184350380115</v>
      </c>
      <c r="I22" s="4">
        <v>0.0200358532767208</v>
      </c>
      <c r="M22" s="6" t="s">
        <v>13</v>
      </c>
      <c r="N22" s="4">
        <f t="shared" si="0"/>
        <v>0.379889992600685</v>
      </c>
      <c r="O22" s="4">
        <f t="shared" si="1"/>
        <v>0.113317780324259</v>
      </c>
      <c r="P22" s="4">
        <f t="shared" si="2"/>
        <v>-0.26516617161743</v>
      </c>
      <c r="Q22" s="4">
        <f t="shared" si="3"/>
        <v>0.0878151827433391</v>
      </c>
    </row>
    <row r="26" spans="1:17">
      <c r="A26" s="2" t="s">
        <v>16</v>
      </c>
      <c r="B26" s="3" t="s">
        <v>1</v>
      </c>
      <c r="C26" s="3"/>
      <c r="D26" s="3" t="s">
        <v>2</v>
      </c>
      <c r="E26" s="3"/>
      <c r="F26" s="3" t="s">
        <v>3</v>
      </c>
      <c r="G26" s="3"/>
      <c r="H26" s="3" t="s">
        <v>4</v>
      </c>
      <c r="I26" s="3"/>
      <c r="M26" s="2" t="s">
        <v>17</v>
      </c>
    </row>
    <row r="27" spans="1:17">
      <c r="A27" s="4"/>
      <c r="B27" s="5" t="s">
        <v>6</v>
      </c>
      <c r="C27" s="2" t="s">
        <v>7</v>
      </c>
      <c r="D27" s="5" t="s">
        <v>6</v>
      </c>
      <c r="E27" s="2" t="s">
        <v>7</v>
      </c>
      <c r="F27" s="5" t="s">
        <v>6</v>
      </c>
      <c r="G27" s="2" t="s">
        <v>7</v>
      </c>
      <c r="H27" s="5" t="s">
        <v>6</v>
      </c>
      <c r="I27" s="2" t="s">
        <v>7</v>
      </c>
      <c r="M27" s="4"/>
      <c r="N27" s="6" t="s">
        <v>1</v>
      </c>
      <c r="O27" s="6" t="s">
        <v>2</v>
      </c>
      <c r="P27" s="6" t="s">
        <v>3</v>
      </c>
      <c r="Q27" s="6" t="s">
        <v>4</v>
      </c>
    </row>
    <row r="28" spans="1:17">
      <c r="A28" s="6" t="s">
        <v>8</v>
      </c>
      <c r="B28" s="4">
        <v>0.449854892025368</v>
      </c>
      <c r="C28" s="4">
        <v>0.485814727651933</v>
      </c>
      <c r="D28" s="4">
        <v>0.639657476703427</v>
      </c>
      <c r="E28" s="4">
        <v>0.376216648064914</v>
      </c>
      <c r="F28" s="4">
        <v>0.74218986757924</v>
      </c>
      <c r="G28" s="4">
        <v>0.360304947522005</v>
      </c>
      <c r="H28" s="4">
        <v>0.452280490387165</v>
      </c>
      <c r="I28" s="4">
        <v>0.516683099794273</v>
      </c>
      <c r="M28" s="6" t="s">
        <v>8</v>
      </c>
      <c r="N28" s="4">
        <v>0.0799365223409356</v>
      </c>
      <c r="O28" s="4">
        <v>-0.411846712081278</v>
      </c>
      <c r="P28" s="4">
        <v>-0.514538040384205</v>
      </c>
      <c r="Q28" s="4">
        <v>0.142395285173538</v>
      </c>
    </row>
    <row r="29" spans="1:17">
      <c r="A29" s="6" t="s">
        <v>9</v>
      </c>
      <c r="B29" s="4">
        <v>0.585978663784867</v>
      </c>
      <c r="C29" s="4">
        <v>0.729312238262032</v>
      </c>
      <c r="D29" s="4">
        <v>0.545127256271015</v>
      </c>
      <c r="E29" s="4">
        <v>0.627290209541355</v>
      </c>
      <c r="F29" s="4">
        <v>0.522002461497582</v>
      </c>
      <c r="G29" s="4">
        <v>0.362694758393017</v>
      </c>
      <c r="H29" s="4">
        <v>0.806391672679217</v>
      </c>
      <c r="I29" s="4">
        <v>0.732471667273752</v>
      </c>
      <c r="M29" s="6" t="s">
        <v>9</v>
      </c>
      <c r="N29" s="4">
        <v>0.24460544954208</v>
      </c>
      <c r="O29" s="4">
        <v>0.150722519054325</v>
      </c>
      <c r="P29" s="4">
        <v>-0.305185731591235</v>
      </c>
      <c r="Q29" s="4">
        <v>-0.0916676199790947</v>
      </c>
    </row>
    <row r="30" spans="1:17">
      <c r="A30" s="6" t="s">
        <v>10</v>
      </c>
      <c r="B30" s="4">
        <v>0.529302401235798</v>
      </c>
      <c r="C30" s="4">
        <v>0.480176060739728</v>
      </c>
      <c r="D30" s="4">
        <v>0.592582949731362</v>
      </c>
      <c r="E30" s="4">
        <v>0.634364546158089</v>
      </c>
      <c r="F30" s="4">
        <v>0.746405970513273</v>
      </c>
      <c r="G30" s="4">
        <v>0.536617180738064</v>
      </c>
      <c r="H30" s="4">
        <v>0.576004599486372</v>
      </c>
      <c r="I30" s="4">
        <v>0.49491897748603</v>
      </c>
      <c r="M30" s="6" t="s">
        <v>10</v>
      </c>
      <c r="N30" s="4">
        <v>-0.0928133716782153</v>
      </c>
      <c r="O30" s="4">
        <v>0.0705075912927768</v>
      </c>
      <c r="P30" s="4">
        <v>-0.281065262153444</v>
      </c>
      <c r="Q30" s="4">
        <v>-0.140772525206651</v>
      </c>
    </row>
    <row r="31" spans="1:17">
      <c r="A31" s="6" t="s">
        <v>11</v>
      </c>
      <c r="B31" s="4">
        <v>0.818974307955947</v>
      </c>
      <c r="C31" s="4">
        <v>0.832743252996787</v>
      </c>
      <c r="D31" s="4">
        <v>0.615959330385426</v>
      </c>
      <c r="E31" s="4">
        <v>0.412980168338981</v>
      </c>
      <c r="F31" s="4">
        <v>0.511149165291931</v>
      </c>
      <c r="G31" s="4">
        <v>0.303206981414227</v>
      </c>
      <c r="H31" s="4">
        <v>0.805855913038488</v>
      </c>
      <c r="I31" s="4">
        <v>0.701125283909745</v>
      </c>
      <c r="M31" s="6" t="s">
        <v>11</v>
      </c>
      <c r="N31" s="4">
        <v>0.01681242611286</v>
      </c>
      <c r="O31" s="4">
        <v>-0.329533383185273</v>
      </c>
      <c r="P31" s="4">
        <v>-0.406813114443692</v>
      </c>
      <c r="Q31" s="4">
        <v>-0.129961978852839</v>
      </c>
    </row>
    <row r="32" spans="1:17">
      <c r="A32" s="6" t="s">
        <v>12</v>
      </c>
      <c r="B32" s="4">
        <v>0.75420635945762</v>
      </c>
      <c r="C32" s="4">
        <v>0.814985263565293</v>
      </c>
      <c r="D32" s="4">
        <v>0.635945838671987</v>
      </c>
      <c r="E32" s="4">
        <v>0.631790504984236</v>
      </c>
      <c r="F32" s="4">
        <v>0.818151937746306</v>
      </c>
      <c r="G32" s="4">
        <v>0.60831286561042</v>
      </c>
      <c r="H32" s="4">
        <v>0.412980168338981</v>
      </c>
      <c r="I32" s="4">
        <v>0.456703026455211</v>
      </c>
      <c r="M32" s="6" t="s">
        <v>12</v>
      </c>
      <c r="N32" s="4">
        <v>0.0805865706984777</v>
      </c>
      <c r="O32" s="4">
        <v>-0.00653409997371533</v>
      </c>
      <c r="P32" s="4">
        <v>-0.25647934381713</v>
      </c>
      <c r="Q32" s="4">
        <v>0.105871568342094</v>
      </c>
    </row>
    <row r="33" spans="1:17">
      <c r="A33" s="6" t="s">
        <v>13</v>
      </c>
      <c r="B33" s="4">
        <v>0.473184499751391</v>
      </c>
      <c r="C33" s="4">
        <v>0.57429009108062</v>
      </c>
      <c r="D33" s="4">
        <v>0.50955794418236</v>
      </c>
      <c r="E33" s="4">
        <v>0.49116008931748</v>
      </c>
      <c r="F33" s="4">
        <v>0.453625573159911</v>
      </c>
      <c r="G33" s="4">
        <v>0.203198721974137</v>
      </c>
      <c r="H33" s="4">
        <v>0.717128816346866</v>
      </c>
      <c r="I33" s="4">
        <v>0.46958895750491</v>
      </c>
      <c r="M33" s="6" t="s">
        <v>13</v>
      </c>
      <c r="N33" s="4">
        <v>0.213670547920208</v>
      </c>
      <c r="O33" s="4">
        <v>-0.0361055206280834</v>
      </c>
      <c r="P33" s="4">
        <v>-0.55205629048055</v>
      </c>
      <c r="Q33" s="4">
        <v>-0.345181860217181</v>
      </c>
    </row>
  </sheetData>
  <mergeCells count="12">
    <mergeCell ref="B3:C3"/>
    <mergeCell ref="D3:E3"/>
    <mergeCell ref="F3:G3"/>
    <mergeCell ref="H3:I3"/>
    <mergeCell ref="B15:C15"/>
    <mergeCell ref="D15:E15"/>
    <mergeCell ref="F15:G15"/>
    <mergeCell ref="H15:I15"/>
    <mergeCell ref="B26:C26"/>
    <mergeCell ref="D26:E26"/>
    <mergeCell ref="F26:G26"/>
    <mergeCell ref="H26:I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2026-04-01T22:48:51Z</dcterms:created>
  <dcterms:modified xsi:type="dcterms:W3CDTF">2026-04-01T22:48:51Z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4C6EB4AD8D8047EF8BFA2D87F4071218_11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